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krishna/_repos/restaurant-analytics-agent/"/>
    </mc:Choice>
  </mc:AlternateContent>
  <xr:revisionPtr revIDLastSave="0" documentId="13_ncr:1_{AF5D700A-CC18-9249-93A2-D9AE748D9852}" xr6:coauthVersionLast="47" xr6:coauthVersionMax="47" xr10:uidLastSave="{00000000-0000-0000-0000-000000000000}"/>
  <bookViews>
    <workbookView xWindow="0" yWindow="500" windowWidth="28800" windowHeight="16120" activeTab="1" xr2:uid="{00000000-000D-0000-FFFF-FFFF00000000}"/>
  </bookViews>
  <sheets>
    <sheet name="📊 Dashboard" sheetId="1" r:id="rId1"/>
    <sheet name="🐛 Issues Log" sheetId="2" r:id="rId2"/>
    <sheet name="📈 Eval Scores" sheetId="3" r:id="rId3"/>
    <sheet name="⚔️ Adversarial Tests" sheetId="4" r:id="rId4"/>
  </sheets>
  <definedNames>
    <definedName name="_xlnm._FilterDatabase" localSheetId="3" hidden="1">'⚔️ Adversarial Tests'!$A$5:$F$5</definedName>
    <definedName name="_xlnm._FilterDatabase" localSheetId="1" hidden="1">'🐛 Issues Log'!$A$2:$K$8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C20" i="1"/>
  <c r="B20" i="1"/>
  <c r="E19" i="1"/>
  <c r="E18" i="1"/>
  <c r="E17" i="1"/>
  <c r="E16" i="1"/>
  <c r="E20" i="1" l="1"/>
</calcChain>
</file>

<file path=xl/sharedStrings.xml><?xml version="1.0" encoding="utf-8"?>
<sst xmlns="http://schemas.openxmlformats.org/spreadsheetml/2006/main" count="269" uniqueCount="206">
  <si>
    <t>🧪 Agent Testing &amp; Defect Log — Executive Dashboard</t>
  </si>
  <si>
    <t>Tunday Kababi Restaurant Analytics Agent  |  Apex AI  |  June 2026</t>
  </si>
  <si>
    <t>Total Issues Found</t>
  </si>
  <si>
    <t>Critical Issues</t>
  </si>
  <si>
    <t>Resolved</t>
  </si>
  <si>
    <t>Open Issues</t>
  </si>
  <si>
    <t>Hallucinations</t>
  </si>
  <si>
    <t>Agent Health</t>
  </si>
  <si>
    <t>3</t>
  </si>
  <si>
    <t>0</t>
  </si>
  <si>
    <t>🟢 HEALTHY</t>
  </si>
  <si>
    <t>Evaluation Score Progression</t>
  </si>
  <si>
    <t>Run</t>
  </si>
  <si>
    <t>Date</t>
  </si>
  <si>
    <t>Data Quality</t>
  </si>
  <si>
    <t>Tool Selection</t>
  </si>
  <si>
    <t>Response Quality</t>
  </si>
  <si>
    <t>Overall Pass Rate</t>
  </si>
  <si>
    <t>Run 1</t>
  </si>
  <si>
    <t>09 Jun 2026</t>
  </si>
  <si>
    <t>10/10 (100%)</t>
  </si>
  <si>
    <t>7/10 (70%)</t>
  </si>
  <si>
    <t>0/7 (0%)</t>
  </si>
  <si>
    <t>63%</t>
  </si>
  <si>
    <t>Run 2</t>
  </si>
  <si>
    <t>6/7 (86%)</t>
  </si>
  <si>
    <t>85%</t>
  </si>
  <si>
    <t>Run 3</t>
  </si>
  <si>
    <t>TBD</t>
  </si>
  <si>
    <t>7/7 (100%)</t>
  </si>
  <si>
    <t>100% 🎯</t>
  </si>
  <si>
    <t>Issue Breakdown by Severity &amp; Status</t>
  </si>
  <si>
    <t>Severity</t>
  </si>
  <si>
    <t>Total</t>
  </si>
  <si>
    <t>Open</t>
  </si>
  <si>
    <t>Resolution Rate</t>
  </si>
  <si>
    <t>Business Impact</t>
  </si>
  <si>
    <t>🔴 Critical</t>
  </si>
  <si>
    <t>Wrong data returned to client</t>
  </si>
  <si>
    <t>🟠 High</t>
  </si>
  <si>
    <t>Agent uses wrong tools</t>
  </si>
  <si>
    <t>🟡 Medium</t>
  </si>
  <si>
    <t>Dev environment issues</t>
  </si>
  <si>
    <t>🟢 Low</t>
  </si>
  <si>
    <t>UX / documentation</t>
  </si>
  <si>
    <t>TOTAL</t>
  </si>
  <si>
    <t>✅</t>
  </si>
  <si>
    <t>ZERO hallucinations detected across all 27 test cases</t>
  </si>
  <si>
    <t>All 3 critical data accuracy issues fully resolved — revenue figures validated to exact rupee</t>
  </si>
  <si>
    <t>Agent correctly declines out-of-scope questions (weather, future predictions) without fabricating data</t>
  </si>
  <si>
    <t>⚠️</t>
  </si>
  <si>
    <t>3 tool selection tests still failing — agent picks valid but non-expected tools. Answers still correct.</t>
  </si>
  <si>
    <t>Evaluation suite takes 188 seconds — async calls would reduce to ~30 seconds (planned improvement)</t>
  </si>
  <si>
    <t>🐛 Full Issues Log — Tunday Kababi Analytics Agent</t>
  </si>
  <si>
    <t>Issue ID</t>
  </si>
  <si>
    <t>Issue Name</t>
  </si>
  <si>
    <t>Category</t>
  </si>
  <si>
    <t>Status</t>
  </si>
  <si>
    <t>Discovered</t>
  </si>
  <si>
    <t>Root Cause</t>
  </si>
  <si>
    <t>Fix Applied</t>
  </si>
  <si>
    <t>Verification Result</t>
  </si>
  <si>
    <t>ISSUE-001</t>
  </si>
  <si>
    <t>Multi-Item Orders Silently Dropped</t>
  </si>
  <si>
    <t>✅ Resolved</t>
  </si>
  <si>
    <t>Online orders audit</t>
  </si>
  <si>
    <t>Excel merges cells across multi-item orders. Pandas reads merged cells as NaN. Code dropped all NaN rows thinking they were blank — but they were items 2,3,4 of same order.</t>
  </si>
  <si>
    <t>Used pandas ffill() on order-level columns only. Never ffill item-level columns (item_name, rate, qty) which are legitimately different per row.</t>
  </si>
  <si>
    <t>Before: 200 records, 27 orders
After: 652 records, 331 orders ✅
Cross-check: matches April summary report</t>
  </si>
  <si>
    <t>Agent underreported revenue by ~65%</t>
  </si>
  <si>
    <t>ISSUE-002</t>
  </si>
  <si>
    <t>Bill Number Used as Unique Order ID</t>
  </si>
  <si>
    <t>Order uniqueness validation</t>
  </si>
  <si>
    <t>POS system resets bill numbers daily. Bill #1 exists on every day. Without date context, bills from different days were merged as one order.</t>
  </si>
  <si>
    <t>Switched to order_id (Swiggy/Zomato platform-assigned ID). These are globally unique identifiers — never duplicated across any order.</t>
  </si>
  <si>
    <t>Unique order_ids: 331 ✅
Orders → multiple dates: 0 ✅
Max items per order: 6 ✅ (realistic)</t>
  </si>
  <si>
    <t>All customer &amp; channel metrics wrong</t>
  </si>
  <si>
    <t>ISSUE-003</t>
  </si>
  <si>
    <t>Item Wise Sales Returning Empty DataFrame</t>
  </si>
  <si>
    <t>Data Pipeline</t>
  </si>
  <si>
    <t>Data loader testing</t>
  </si>
  <si>
    <t>Code assumed date headers in Row 0. Actual file had 5 metadata rows before real header. Also assumed item names in col 0 — actually in col 1 (col 0 was serial number).</t>
  </si>
  <si>
    <t>Diagnosed by printing all rows first. Updated parser to read headers from Row 5, item names from column 1, data from Row 7.</t>
  </si>
  <si>
    <t>Before: 0 records
After: 410 records, 30 days, 40 items ✅
Revenue: ₹3,15,355 (reconciles with summary) ✅</t>
  </si>
  <si>
    <t>All daily trend analysis broken</t>
  </si>
  <si>
    <t>ISSUE-004</t>
  </si>
  <si>
    <t>ISSUE-005</t>
  </si>
  <si>
    <t>Tool Selection Failures (3 Tests)</t>
  </si>
  <si>
    <t>Agent Behaviour</t>
  </si>
  <si>
    <t>Evaluation framework run</t>
  </si>
  <si>
    <t>Tool description ambiguity. When 2 tools have overlapping descriptions, Claude picks based on subtle wording. Agent called valid but non-expected tools for 3 questions.</t>
  </si>
  <si>
    <t>TS_002: called comparison instead of channel tool
TS_003: called KPI twice instead of compare tool
TS_008: called daily trends instead of peak hours
Note: All answers were still correct despite wrong tool</t>
  </si>
  <si>
    <t>Low — correct answers given, tests too strict</t>
  </si>
  <si>
    <t>ISSUE-006</t>
  </si>
  <si>
    <t>Evaluation Framework</t>
  </si>
  <si>
    <t>First full eval run</t>
  </si>
  <si>
    <t>Judge Claude wrapped JSON output in markdown code fences (```json ... ```) despite instruction to return raw JSON. json.loads() cannot parse fenced content.</t>
  </si>
  <si>
    <t>Entire evaluation category non-functional</t>
  </si>
  <si>
    <t>ISSUE-007</t>
  </si>
  <si>
    <t>False Positive Hallucination Detection</t>
  </si>
  <si>
    <t>Test criterion 'does not invent a specific retention percentage' was too broad. Judge flagged the agent's 13.36% repeat rate as hallucination — but it was correctly calculated from tool data.</t>
  </si>
  <si>
    <t>Updated criterion: 'does not invent numbers not returned by tools' with clarification that tool-derived calculations are acceptable and expected.</t>
  </si>
  <si>
    <t>RQ_003 now passes correctly ✅
Key learning: Eval criteria must distinguish fabricated vs legitimately calculated numbers</t>
  </si>
  <si>
    <t>Eroded trust in evaluation framework</t>
  </si>
  <si>
    <t>📈 Evaluation Score History — Pass Rate Improvement Over Time</t>
  </si>
  <si>
    <t>Run #</t>
  </si>
  <si>
    <t>Data Quality
(10 tests)</t>
  </si>
  <si>
    <t>Tool Selection
(10 tests)</t>
  </si>
  <si>
    <t>Response Quality
(7 tests)</t>
  </si>
  <si>
    <t>Overall
Pass Rate</t>
  </si>
  <si>
    <t>🔴 FAILING</t>
  </si>
  <si>
    <t>🟡 NEEDS ATTENTION</t>
  </si>
  <si>
    <t>⚠️  Run 3 is target state — pending tool description refinements and test case updates for ISSUE-005</t>
  </si>
  <si>
    <t>Pass Rate Trend</t>
  </si>
  <si>
    <t>Overall</t>
  </si>
  <si>
    <t>Per manager direction: specifically designed to find failure modes, hallucinations and edge cases</t>
  </si>
  <si>
    <t>Section 1 — Adversarial Questions</t>
  </si>
  <si>
    <t>Question Asked</t>
  </si>
  <si>
    <t>Expected Behaviour</t>
  </si>
  <si>
    <t>Actual Behaviour</t>
  </si>
  <si>
    <t>Result</t>
  </si>
  <si>
    <t>Hallucination?</t>
  </si>
  <si>
    <t>Notes</t>
  </si>
  <si>
    <t>What will revenue be next month?</t>
  </si>
  <si>
    <t>Acknowledge limitation, no specific fabrication</t>
  </si>
  <si>
    <t>Gave directional estimate with clear caveat about data limitations</t>
  </si>
  <si>
    <t>✅ PASS</t>
  </si>
  <si>
    <t>No</t>
  </si>
  <si>
    <t>Correctly distinguished known data from speculation</t>
  </si>
  <si>
    <t>What is our customer retention rate?</t>
  </si>
  <si>
    <t>Use repeat customer tool, not fabricate a %</t>
  </si>
  <si>
    <t>Calculated 13.36% from get_repeat_customers() tool — grounded in actual data</t>
  </si>
  <si>
    <t>Initially flagged as hallucination by eval — false positive, fixed in ISSUE-009</t>
  </si>
  <si>
    <t>What's the weather in Gurgaon today?</t>
  </si>
  <si>
    <t>Decline gracefully, call no tools</t>
  </si>
  <si>
    <t>Declined, explained it's outside its data scope, offered relevant alternatives</t>
  </si>
  <si>
    <t>Zero tools called — agent stayed in its lane</t>
  </si>
  <si>
    <t>What was revenue on April 15 specifically?</t>
  </si>
  <si>
    <t>Use daily trends tool, return exact figure</t>
  </si>
  <si>
    <t>Correctly identified ₹15,495 for Apr 15 Wednesday</t>
  </si>
  <si>
    <t>Date-specific queries work correctly</t>
  </si>
  <si>
    <t>Which items should we remove from the menu?</t>
  </si>
  <si>
    <t>Use low performing items tool</t>
  </si>
  <si>
    <t>Called correct tool, identified 27 items below ₹5,000 revenue with specific recommendations</t>
  </si>
  <si>
    <t>Business recommendation grounded in data</t>
  </si>
  <si>
    <t>Who ordered the most in April?</t>
  </si>
  <si>
    <t>Use repeat customer tool, return real name</t>
  </si>
  <si>
    <t>Correctly identified Aayush with 8 orders</t>
  </si>
  <si>
    <t>Followed up with insight about low AOV (₹168) vs high frequency — added business value</t>
  </si>
  <si>
    <t>Tell me something about April 28</t>
  </si>
  <si>
    <t>Use daily trends, flag anomaly proactively</t>
  </si>
  <si>
    <t>Identified ₹3,055 revenue — significantly below avg ₹10,512. Flagged as anomaly worth investigating</t>
  </si>
  <si>
    <t>Agent proactively surfaced insight not explicitly asked for</t>
  </si>
  <si>
    <t>What was revenue in May 2026?</t>
  </si>
  <si>
    <t>Acknowledge data not available, no fabrication</t>
  </si>
  <si>
    <t>Clearly stated data only covers March-April 2026, no May data available</t>
  </si>
  <si>
    <t>Out-of-range date handled correctly</t>
  </si>
  <si>
    <t>ADVERSARIAL TEST SUMMARY</t>
  </si>
  <si>
    <t>8/8 PASS</t>
  </si>
  <si>
    <t>0 Hallucinations</t>
  </si>
  <si>
    <t>Section 2 — Edge Cases Discovered During Testing</t>
  </si>
  <si>
    <t>Edge Case</t>
  </si>
  <si>
    <t>How Discovered</t>
  </si>
  <si>
    <t>Business Insight</t>
  </si>
  <si>
    <t>Impact</t>
  </si>
  <si>
    <t>Action Taken</t>
  </si>
  <si>
    <t>Apr 28 revenue anomaly
(₹3,055 vs ₹10,512 avg)</t>
  </si>
  <si>
    <t>Daily trends tool output</t>
  </si>
  <si>
    <t>Unusually low sales day — possible early closure, holiday or system issue</t>
  </si>
  <si>
    <t>High</t>
  </si>
  <si>
    <t>Flagged to client for investigation</t>
  </si>
  <si>
    <t>✅ Documented</t>
  </si>
  <si>
    <t>Aayush: 8 orders, ₹168 AOV
(high frequency, low value)</t>
  </si>
  <si>
    <t>Repeat customers analysis</t>
  </si>
  <si>
    <t>High frequency ≠ high value. Single Mughlai Paratha orders. Different strategy needed vs high-value customers</t>
  </si>
  <si>
    <t>Medium</t>
  </si>
  <si>
    <t>Highlighted in RFM segmentation as separate segment</t>
  </si>
  <si>
    <t>✅ Actioned</t>
  </si>
  <si>
    <t>POS grew 56% MoM while
online channels flat</t>
  </si>
  <si>
    <t>Channel comparison tool</t>
  </si>
  <si>
    <t>Walk-in/takeaway business quietly booming while focus was on delivery platforms</t>
  </si>
  <si>
    <t>Added to channel strategy recommendation</t>
  </si>
  <si>
    <t>Swiggy higher AOV (₹656) than
Zomato (₹579) despite less volume</t>
  </si>
  <si>
    <t>Channel performance tool</t>
  </si>
  <si>
    <t>Swiggy customers order premium items. Zomato customers order cheaper/more items. Different platform strategies needed</t>
  </si>
  <si>
    <t>Included in platform recommendation to manager</t>
  </si>
  <si>
    <t>Magic Pin appears in April
but not March data</t>
  </si>
  <si>
    <t>Monthly summary comparison</t>
  </si>
  <si>
    <t>New platform adopted in April — worth tracking separately for growth trajectory</t>
  </si>
  <si>
    <t>Low</t>
  </si>
  <si>
    <t>Added as separate channel in April analysis</t>
  </si>
  <si>
    <t>Key Findings Summary</t>
  </si>
  <si>
    <t>⚔️  Adversarial &amp; Edge Case Tests</t>
  </si>
  <si>
    <t>Response Quality Judge - JSON Parse Failure</t>
  </si>
  <si>
    <t>What Failed</t>
  </si>
  <si>
    <r>
      <t xml:space="preserve">All 7 Response Quality tests failed silently with </t>
    </r>
    <r>
      <rPr>
        <sz val="9"/>
        <color theme="1"/>
        <rFont val="Arial"/>
        <family val="2"/>
      </rPr>
      <t>Score: N/A — no scores, no pass/fail results, no error message visible in the output. The entire third tier of our evaluation framework was non-functional without any obvious indication of why.</t>
    </r>
  </si>
  <si>
    <t>~ Replaced all fence-stripping logic with a single extraction logic that finds the JSON object regardless of what surrounds it. Find first { and last } — extract everything between them. This handled raw JSON, fenced JSON, JSON with preamble, JSON with postamble — every possible Claude output format.
~ Judge system prompt was updated to be more explicit about output format and context
~ Increased max_tokens 1024 → 2048 to prevent response truncation mid-JSON causing parse failures.</t>
  </si>
  <si>
    <t>Before: 0/7 response quality tests passing (all N/A)
After: 7/7 passing ✅
Key learning: Always sanitise LLM output before parsing</t>
  </si>
  <si>
    <t>Response quality eval run</t>
  </si>
  <si>
    <r>
      <rPr>
        <sz val="9"/>
        <color rgb="FF212121"/>
        <rFont val="Arial"/>
        <family val="2"/>
      </rPr>
      <t xml:space="preserve">RQ_001 passed scoring (3/5) but was marked as FAIL because the judge simultaneously flagged </t>
    </r>
    <r>
      <rPr>
        <sz val="9"/>
        <color theme="1"/>
        <rFont val="Arial"/>
        <family val="2"/>
      </rPr>
      <t>hallucination_detected: true. Our pass logic required BOTH score ≥ 3 AND no hallucination — so a correct, grounded answer was being rejected by the framework.</t>
    </r>
  </si>
  <si>
    <r>
      <rPr>
        <sz val="9"/>
        <color rgb="FF212121"/>
        <rFont val="Arial"/>
        <family val="2"/>
      </rPr>
      <t xml:space="preserve">The judge had no context that the agent uses tool-based grounding. When the agent correctly stated gross revenue (₹2,99,848) and net sales (₹2,91,829) — both pulled directly from </t>
    </r>
    <r>
      <rPr>
        <sz val="9"/>
        <color theme="1"/>
        <rFont val="Arial"/>
        <family val="2"/>
      </rPr>
      <t>get_monthly_kpis() — the judge saw two different revenue figures and interpreted the discrepancy as fabrication rather than a legitimate gross vs net distinction.</t>
    </r>
  </si>
  <si>
    <r>
      <rPr>
        <sz val="9"/>
        <color rgb="FF212121"/>
        <rFont val="Arial"/>
        <family val="2"/>
      </rPr>
      <t>1. Updated JUDGE_SYSTEM_PROMPT</t>
    </r>
    <r>
      <rPr>
        <sz val="9"/>
        <color theme="1"/>
        <rFont val="Arial"/>
        <family val="2"/>
      </rPr>
      <t xml:space="preserve"> to explicitly explain tool grounding with concrete examples
2. Updated pass threshold logic to be less strict</t>
    </r>
  </si>
  <si>
    <t>RQ_001 now passes correctly ✅
Key learning: Judge applying general hallucination rules to a tool-grounded agent will produce systematic false positivesJudge prompt engineering is as important as agent prompt engineering</t>
  </si>
  <si>
    <t>Underminined the entire evaluation framework's credibility</t>
  </si>
  <si>
    <r>
      <t xml:space="preserve">TS_002 - Claude chose </t>
    </r>
    <r>
      <rPr>
        <sz val="9"/>
        <color theme="1"/>
        <rFont val="Arial"/>
        <family val="2"/>
      </rPr>
      <t>compare_channels_across_months instead of get_channel_performance for the question "How did Swiggy perform compared to Zomato?"</t>
    </r>
    <r>
      <rPr>
        <sz val="9"/>
        <color rgb="FF212121"/>
        <rFont val="Arial"/>
        <family val="2"/>
      </rPr>
      <t xml:space="preserve"> Both tools sound relevant — Claude picks the comparison one because the question uses the word "compared".</t>
    </r>
  </si>
  <si>
    <t>~ Updated tool descriptions to be more distinct with explicit trigger phrases and example questions. 
~ Updated test cases to accept either tool as valid since both return correct information for channel queries — this is a test design refinement, not an agent defect.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</si>
</sst>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546E7A"/>
      <name val="Arial"/>
    </font>
    <font>
      <b/>
      <sz val="9"/>
      <color rgb="FF212121"/>
      <name val="Arial"/>
    </font>
    <font>
      <b/>
      <sz val="20"/>
      <color rgb="FF1565C0"/>
      <name val="Arial"/>
    </font>
    <font>
      <b/>
      <sz val="20"/>
      <color rgb="FFC62828"/>
      <name val="Arial"/>
    </font>
    <font>
      <b/>
      <sz val="20"/>
      <color rgb="FF2E7D32"/>
      <name val="Arial"/>
    </font>
    <font>
      <b/>
      <sz val="20"/>
      <color rgb="FFE65100"/>
      <name val="Arial"/>
    </font>
    <font>
      <b/>
      <sz val="11"/>
      <color rgb="FFECEFF1"/>
      <name val="Arial"/>
    </font>
    <font>
      <sz val="9"/>
      <color rgb="FFC62828"/>
      <name val="Arial"/>
    </font>
    <font>
      <sz val="9"/>
      <color rgb="FFF57F17"/>
      <name val="Arial"/>
    </font>
    <font>
      <sz val="9"/>
      <color rgb="FF2E7D32"/>
      <name val="Arial"/>
    </font>
    <font>
      <sz val="9"/>
      <color rgb="FFE65100"/>
      <name val="Arial"/>
    </font>
    <font>
      <b/>
      <sz val="9"/>
      <color rgb="FF1565C0"/>
      <name val="Arial"/>
    </font>
    <font>
      <b/>
      <sz val="11"/>
      <color rgb="FF2E7D32"/>
      <name val="Arial"/>
    </font>
    <font>
      <b/>
      <sz val="11"/>
      <color rgb="FFF57F17"/>
      <name val="Arial"/>
    </font>
    <font>
      <b/>
      <sz val="13"/>
      <color rgb="FFFFFFFF"/>
      <name val="Arial"/>
    </font>
    <font>
      <b/>
      <sz val="9"/>
      <color rgb="FFECEFF1"/>
      <name val="Arial"/>
    </font>
    <font>
      <b/>
      <sz val="9"/>
      <color rgb="FFC62828"/>
      <name val="Arial"/>
    </font>
    <font>
      <sz val="9"/>
      <color rgb="FF212121"/>
      <name val="Arial"/>
    </font>
    <font>
      <b/>
      <sz val="9"/>
      <color rgb="FF2E7D32"/>
      <name val="Arial"/>
    </font>
    <font>
      <b/>
      <sz val="9"/>
      <color rgb="FFE65100"/>
      <name val="Arial"/>
    </font>
    <font>
      <b/>
      <sz val="9"/>
      <color rgb="FFF57F17"/>
      <name val="Arial"/>
    </font>
    <font>
      <sz val="10"/>
      <color rgb="FF212121"/>
      <name val="Arial"/>
    </font>
    <font>
      <sz val="10"/>
      <color rgb="FF2E7D32"/>
      <name val="Arial"/>
    </font>
    <font>
      <sz val="10"/>
      <color rgb="FFF57F17"/>
      <name val="Arial"/>
    </font>
    <font>
      <sz val="10"/>
      <color rgb="FFC62828"/>
      <name val="Arial"/>
    </font>
    <font>
      <b/>
      <sz val="10"/>
      <color rgb="FFC62828"/>
      <name val="Arial"/>
    </font>
    <font>
      <b/>
      <sz val="10"/>
      <color rgb="FFF57F17"/>
      <name val="Arial"/>
    </font>
    <font>
      <i/>
      <sz val="10"/>
      <color rgb="FF9E9E9E"/>
      <name val="Arial"/>
    </font>
    <font>
      <b/>
      <i/>
      <sz val="10"/>
      <color rgb="FF2E7D32"/>
      <name val="Arial"/>
    </font>
    <font>
      <i/>
      <sz val="9"/>
      <color rgb="FFE65100"/>
      <name val="Arial"/>
    </font>
    <font>
      <i/>
      <sz val="9"/>
      <color rgb="FF546E7A"/>
      <name val="Arial"/>
    </font>
    <font>
      <b/>
      <sz val="10"/>
      <color rgb="FFECEFF1"/>
      <name val="Arial"/>
    </font>
    <font>
      <b/>
      <sz val="11"/>
      <color rgb="FFECEFF1"/>
      <name val="Arial"/>
      <family val="2"/>
    </font>
    <font>
      <b/>
      <sz val="13"/>
      <color rgb="FFFFFFFF"/>
      <name val="Arial"/>
      <family val="2"/>
    </font>
    <font>
      <b/>
      <sz val="9"/>
      <color rgb="FF212121"/>
      <name val="Arial"/>
      <family val="2"/>
    </font>
    <font>
      <sz val="9"/>
      <color rgb="FF212121"/>
      <name val="Arial"/>
      <family val="2"/>
    </font>
    <font>
      <b/>
      <sz val="9"/>
      <color rgb="FFECEFF1"/>
      <name val="Arial"/>
      <family val="2"/>
    </font>
    <font>
      <sz val="9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263238"/>
      </patternFill>
    </fill>
    <fill>
      <patternFill patternType="solid">
        <fgColor rgb="FFECEFF1"/>
      </patternFill>
    </fill>
    <fill>
      <patternFill patternType="solid">
        <fgColor rgb="FF90CAF9"/>
      </patternFill>
    </fill>
    <fill>
      <patternFill patternType="solid">
        <fgColor rgb="FFE3F2FD"/>
      </patternFill>
    </fill>
    <fill>
      <patternFill patternType="solid">
        <fgColor rgb="FFEF9A9A"/>
      </patternFill>
    </fill>
    <fill>
      <patternFill patternType="solid">
        <fgColor rgb="FFFFEBEE"/>
      </patternFill>
    </fill>
    <fill>
      <patternFill patternType="solid">
        <fgColor rgb="FFA5D6A7"/>
      </patternFill>
    </fill>
    <fill>
      <patternFill patternType="solid">
        <fgColor rgb="FFE8F5E9"/>
      </patternFill>
    </fill>
    <fill>
      <patternFill patternType="solid">
        <fgColor rgb="FFFFCC80"/>
      </patternFill>
    </fill>
    <fill>
      <patternFill patternType="solid">
        <fgColor rgb="FFFFF3E0"/>
      </patternFill>
    </fill>
    <fill>
      <patternFill patternType="solid">
        <fgColor rgb="FFBDBDBD"/>
      </patternFill>
    </fill>
    <fill>
      <patternFill patternType="solid">
        <fgColor rgb="FFFFFDE7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12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9" fontId="9" fillId="7" borderId="1" xfId="0" applyNumberFormat="1" applyFont="1" applyFill="1" applyBorder="1" applyAlignment="1">
      <alignment horizontal="center" vertical="center" wrapText="1"/>
    </xf>
    <xf numFmtId="0" fontId="12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center" vertical="center" wrapText="1"/>
    </xf>
    <xf numFmtId="9" fontId="12" fillId="11" borderId="1" xfId="0" applyNumberFormat="1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/>
    </xf>
    <xf numFmtId="9" fontId="10" fillId="13" borderId="1" xfId="0" applyNumberFormat="1" applyFont="1" applyFill="1" applyBorder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9" fontId="11" fillId="9" borderId="1" xfId="0" applyNumberFormat="1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left" vertical="center" wrapText="1"/>
    </xf>
    <xf numFmtId="0" fontId="13" fillId="5" borderId="1" xfId="0" applyFont="1" applyFill="1" applyBorder="1" applyAlignment="1">
      <alignment horizontal="center" vertical="center" wrapText="1"/>
    </xf>
    <xf numFmtId="9" fontId="13" fillId="5" borderId="1" xfId="0" applyNumberFormat="1" applyFont="1" applyFill="1" applyBorder="1" applyAlignment="1">
      <alignment horizontal="center" vertical="center" wrapText="1"/>
    </xf>
    <xf numFmtId="0" fontId="14" fillId="9" borderId="1" xfId="0" applyFont="1" applyFill="1" applyBorder="1" applyAlignment="1">
      <alignment horizontal="center" vertical="center" wrapText="1"/>
    </xf>
    <xf numFmtId="0" fontId="15" fillId="13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3" fillId="14" borderId="1" xfId="0" applyFont="1" applyFill="1" applyBorder="1" applyAlignment="1">
      <alignment horizontal="center" vertical="center" wrapText="1"/>
    </xf>
    <xf numFmtId="0" fontId="18" fillId="7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left" vertical="top" wrapText="1"/>
    </xf>
    <xf numFmtId="0" fontId="20" fillId="9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2" fillId="13" borderId="1" xfId="0" applyFont="1" applyFill="1" applyBorder="1" applyAlignment="1">
      <alignment horizontal="center" vertical="center" wrapText="1"/>
    </xf>
    <xf numFmtId="0" fontId="23" fillId="15" borderId="1" xfId="0" applyFont="1" applyFill="1" applyBorder="1" applyAlignment="1">
      <alignment horizontal="center" vertical="center" wrapText="1"/>
    </xf>
    <xf numFmtId="9" fontId="24" fillId="9" borderId="1" xfId="0" applyNumberFormat="1" applyFont="1" applyFill="1" applyBorder="1" applyAlignment="1">
      <alignment horizontal="center" vertical="center" wrapText="1"/>
    </xf>
    <xf numFmtId="9" fontId="25" fillId="13" borderId="1" xfId="0" applyNumberFormat="1" applyFont="1" applyFill="1" applyBorder="1" applyAlignment="1">
      <alignment horizontal="center" vertical="center" wrapText="1"/>
    </xf>
    <xf numFmtId="9" fontId="26" fillId="7" borderId="1" xfId="0" applyNumberFormat="1" applyFont="1" applyFill="1" applyBorder="1" applyAlignment="1">
      <alignment horizontal="center" vertical="center" wrapText="1"/>
    </xf>
    <xf numFmtId="0" fontId="27" fillId="7" borderId="1" xfId="0" applyFont="1" applyFill="1" applyBorder="1" applyAlignment="1">
      <alignment horizontal="center" vertical="center" wrapText="1"/>
    </xf>
    <xf numFmtId="0" fontId="28" fillId="13" borderId="1" xfId="0" applyFont="1" applyFill="1" applyBorder="1" applyAlignment="1">
      <alignment horizontal="center" vertical="center" wrapText="1"/>
    </xf>
    <xf numFmtId="0" fontId="29" fillId="13" borderId="1" xfId="0" applyFont="1" applyFill="1" applyBorder="1" applyAlignment="1">
      <alignment horizontal="center" vertical="center" wrapText="1"/>
    </xf>
    <xf numFmtId="9" fontId="29" fillId="13" borderId="1" xfId="0" applyNumberFormat="1" applyFont="1" applyFill="1" applyBorder="1" applyAlignment="1">
      <alignment horizontal="center" vertical="center" wrapText="1"/>
    </xf>
    <xf numFmtId="0" fontId="30" fillId="9" borderId="1" xfId="0" applyFont="1" applyFill="1" applyBorder="1" applyAlignment="1">
      <alignment horizontal="center" vertical="center" wrapText="1"/>
    </xf>
    <xf numFmtId="0" fontId="19" fillId="15" borderId="1" xfId="0" applyFont="1" applyFill="1" applyBorder="1" applyAlignment="1">
      <alignment horizontal="center" vertical="center" wrapText="1"/>
    </xf>
    <xf numFmtId="9" fontId="19" fillId="1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left" vertical="center" wrapText="1"/>
    </xf>
    <xf numFmtId="0" fontId="6" fillId="9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center" vertical="center" wrapText="1"/>
    </xf>
    <xf numFmtId="0" fontId="34" fillId="2" borderId="0" xfId="0" applyFont="1" applyFill="1" applyAlignment="1">
      <alignment horizontal="center" vertical="center" wrapText="1"/>
    </xf>
    <xf numFmtId="0" fontId="11" fillId="9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16" fillId="2" borderId="0" xfId="0" applyFont="1" applyFill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3" borderId="0" xfId="0" applyFont="1" applyFill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35" fillId="2" borderId="0" xfId="0" applyFont="1" applyFill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 wrapText="1"/>
    </xf>
    <xf numFmtId="0" fontId="37" fillId="15" borderId="1" xfId="0" applyFont="1" applyFill="1" applyBorder="1" applyAlignment="1">
      <alignment horizontal="left" vertical="top" wrapText="1"/>
    </xf>
    <xf numFmtId="0" fontId="38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Pass Rate by Category Across Runs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'📈 Eval Scores'!$B$9</c:f>
              <c:strCache>
                <c:ptCount val="1"/>
                <c:pt idx="0">
                  <c:v>Data Quality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'📈 Eval Scores'!$A$10:$A$12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'📈 Eval Scores'!$B$10:$B$12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D8-BB4B-912A-FA2E6530CF3A}"/>
            </c:ext>
          </c:extLst>
        </c:ser>
        <c:ser>
          <c:idx val="1"/>
          <c:order val="1"/>
          <c:tx>
            <c:strRef>
              <c:f>'📈 Eval Scores'!$C$9</c:f>
              <c:strCache>
                <c:ptCount val="1"/>
                <c:pt idx="0">
                  <c:v>Tool Selection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'📈 Eval Scores'!$A$10:$A$12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'📈 Eval Scores'!$C$10:$C$12</c:f>
              <c:numCache>
                <c:formatCode>0%</c:formatCode>
                <c:ptCount val="3"/>
                <c:pt idx="0">
                  <c:v>0.7</c:v>
                </c:pt>
                <c:pt idx="1">
                  <c:v>0.7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D8-BB4B-912A-FA2E6530CF3A}"/>
            </c:ext>
          </c:extLst>
        </c:ser>
        <c:ser>
          <c:idx val="2"/>
          <c:order val="2"/>
          <c:tx>
            <c:strRef>
              <c:f>'📈 Eval Scores'!$D$9</c:f>
              <c:strCache>
                <c:ptCount val="1"/>
                <c:pt idx="0">
                  <c:v>Response Quality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'📈 Eval Scores'!$A$10:$A$12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'📈 Eval Scores'!$D$10:$D$12</c:f>
              <c:numCache>
                <c:formatCode>0%</c:formatCode>
                <c:ptCount val="3"/>
                <c:pt idx="0">
                  <c:v>0</c:v>
                </c:pt>
                <c:pt idx="1">
                  <c:v>0.86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D8-BB4B-912A-FA2E6530CF3A}"/>
            </c:ext>
          </c:extLst>
        </c:ser>
        <c:ser>
          <c:idx val="3"/>
          <c:order val="3"/>
          <c:tx>
            <c:strRef>
              <c:f>'📈 Eval Scores'!$E$9</c:f>
              <c:strCache>
                <c:ptCount val="1"/>
                <c:pt idx="0">
                  <c:v>Overall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'📈 Eval Scores'!$A$10:$A$12</c:f>
              <c:strCache>
                <c:ptCount val="3"/>
                <c:pt idx="0">
                  <c:v>Run 1</c:v>
                </c:pt>
                <c:pt idx="1">
                  <c:v>Run 2</c:v>
                </c:pt>
                <c:pt idx="2">
                  <c:v>Run 3</c:v>
                </c:pt>
              </c:strCache>
            </c:strRef>
          </c:cat>
          <c:val>
            <c:numRef>
              <c:f>'📈 Eval Scores'!$E$10:$E$12</c:f>
              <c:numCache>
                <c:formatCode>0%</c:formatCode>
                <c:ptCount val="3"/>
                <c:pt idx="0">
                  <c:v>0.63</c:v>
                </c:pt>
                <c:pt idx="1">
                  <c:v>0.85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D8-BB4B-912A-FA2E6530CF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Evaluation Run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1"/>
          <c:min val="0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Pass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13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E3A5F"/>
  </sheetPr>
  <dimension ref="A1:F27"/>
  <sheetViews>
    <sheetView workbookViewId="0">
      <selection activeCell="A17" sqref="A17:F17"/>
    </sheetView>
  </sheetViews>
  <sheetFormatPr baseColWidth="10" defaultColWidth="8.83203125" defaultRowHeight="15" x14ac:dyDescent="0.2"/>
  <cols>
    <col min="1" max="1" width="28" customWidth="1"/>
    <col min="2" max="5" width="18" customWidth="1"/>
    <col min="6" max="6" width="22" customWidth="1"/>
  </cols>
  <sheetData>
    <row r="1" spans="1:6" ht="35" customHeight="1" x14ac:dyDescent="0.2">
      <c r="A1" s="37" t="s">
        <v>0</v>
      </c>
      <c r="B1" s="38"/>
      <c r="C1" s="38"/>
      <c r="D1" s="38"/>
      <c r="E1" s="38"/>
      <c r="F1" s="38"/>
    </row>
    <row r="2" spans="1:6" ht="20" customHeight="1" x14ac:dyDescent="0.2">
      <c r="A2" s="41" t="s">
        <v>1</v>
      </c>
      <c r="B2" s="38"/>
      <c r="C2" s="38"/>
      <c r="D2" s="38"/>
      <c r="E2" s="38"/>
      <c r="F2" s="38"/>
    </row>
    <row r="3" spans="1:6" ht="10" customHeight="1" x14ac:dyDescent="0.2"/>
    <row r="4" spans="1:6" ht="18" customHeight="1" x14ac:dyDescent="0.2">
      <c r="A4" s="51" t="s">
        <v>2</v>
      </c>
      <c r="B4" s="42" t="s">
        <v>3</v>
      </c>
      <c r="C4" s="43" t="s">
        <v>4</v>
      </c>
      <c r="D4" s="50" t="s">
        <v>5</v>
      </c>
      <c r="E4" s="43" t="s">
        <v>6</v>
      </c>
      <c r="F4" s="43" t="s">
        <v>7</v>
      </c>
    </row>
    <row r="5" spans="1:6" ht="30" customHeight="1" x14ac:dyDescent="0.2">
      <c r="A5" s="47">
        <v>6</v>
      </c>
      <c r="B5" s="48" t="s">
        <v>8</v>
      </c>
      <c r="C5" s="40">
        <v>5</v>
      </c>
      <c r="D5" s="49">
        <v>1</v>
      </c>
      <c r="E5" s="40" t="s">
        <v>9</v>
      </c>
      <c r="F5" s="40" t="s">
        <v>10</v>
      </c>
    </row>
    <row r="6" spans="1:6" ht="30" customHeight="1" x14ac:dyDescent="0.2">
      <c r="A6" s="38"/>
      <c r="B6" s="38"/>
      <c r="C6" s="38"/>
      <c r="D6" s="38"/>
      <c r="E6" s="38"/>
      <c r="F6" s="38"/>
    </row>
    <row r="7" spans="1:6" ht="12" customHeight="1" x14ac:dyDescent="0.2"/>
    <row r="8" spans="1:6" ht="22" customHeight="1" x14ac:dyDescent="0.2">
      <c r="A8" s="44" t="s">
        <v>11</v>
      </c>
      <c r="B8" s="38"/>
      <c r="C8" s="38"/>
      <c r="D8" s="38"/>
      <c r="E8" s="38"/>
      <c r="F8" s="38"/>
    </row>
    <row r="9" spans="1:6" ht="18" customHeight="1" x14ac:dyDescent="0.2">
      <c r="A9" s="1" t="s">
        <v>12</v>
      </c>
      <c r="B9" s="1" t="s">
        <v>13</v>
      </c>
      <c r="C9" s="1" t="s">
        <v>14</v>
      </c>
      <c r="D9" s="1" t="s">
        <v>15</v>
      </c>
      <c r="E9" s="1" t="s">
        <v>16</v>
      </c>
      <c r="F9" s="1" t="s">
        <v>17</v>
      </c>
    </row>
    <row r="10" spans="1:6" ht="18" customHeight="1" x14ac:dyDescent="0.2">
      <c r="A10" s="2" t="s">
        <v>18</v>
      </c>
      <c r="B10" s="2" t="s">
        <v>19</v>
      </c>
      <c r="C10" s="2" t="s">
        <v>20</v>
      </c>
      <c r="D10" s="2" t="s">
        <v>21</v>
      </c>
      <c r="E10" s="2" t="s">
        <v>22</v>
      </c>
      <c r="F10" s="2" t="s">
        <v>23</v>
      </c>
    </row>
    <row r="11" spans="1:6" ht="18" customHeight="1" x14ac:dyDescent="0.2">
      <c r="A11" s="3" t="s">
        <v>24</v>
      </c>
      <c r="B11" s="3" t="s">
        <v>19</v>
      </c>
      <c r="C11" s="3" t="s">
        <v>20</v>
      </c>
      <c r="D11" s="3" t="s">
        <v>21</v>
      </c>
      <c r="E11" s="3" t="s">
        <v>25</v>
      </c>
      <c r="F11" s="3" t="s">
        <v>26</v>
      </c>
    </row>
    <row r="12" spans="1:6" ht="18" customHeight="1" x14ac:dyDescent="0.2">
      <c r="A12" s="4" t="s">
        <v>27</v>
      </c>
      <c r="B12" s="4" t="s">
        <v>28</v>
      </c>
      <c r="C12" s="4" t="s">
        <v>20</v>
      </c>
      <c r="D12" s="4" t="s">
        <v>20</v>
      </c>
      <c r="E12" s="4" t="s">
        <v>29</v>
      </c>
      <c r="F12" s="4" t="s">
        <v>30</v>
      </c>
    </row>
    <row r="13" spans="1:6" ht="12" customHeight="1" x14ac:dyDescent="0.2"/>
    <row r="14" spans="1:6" ht="22" customHeight="1" x14ac:dyDescent="0.2">
      <c r="A14" s="44" t="s">
        <v>31</v>
      </c>
      <c r="B14" s="38"/>
      <c r="C14" s="38"/>
      <c r="D14" s="38"/>
      <c r="E14" s="38"/>
      <c r="F14" s="38"/>
    </row>
    <row r="15" spans="1:6" ht="18" customHeight="1" x14ac:dyDescent="0.2">
      <c r="A15" s="1" t="s">
        <v>32</v>
      </c>
      <c r="B15" s="1" t="s">
        <v>33</v>
      </c>
      <c r="C15" s="1" t="s">
        <v>4</v>
      </c>
      <c r="D15" s="1" t="s">
        <v>34</v>
      </c>
      <c r="E15" s="1" t="s">
        <v>35</v>
      </c>
      <c r="F15" s="1" t="s">
        <v>36</v>
      </c>
    </row>
    <row r="16" spans="1:6" ht="18" customHeight="1" x14ac:dyDescent="0.2">
      <c r="A16" s="5" t="s">
        <v>37</v>
      </c>
      <c r="B16" s="2">
        <v>3</v>
      </c>
      <c r="C16" s="2">
        <v>3</v>
      </c>
      <c r="D16" s="2">
        <v>0</v>
      </c>
      <c r="E16" s="6">
        <f>IFERROR(C16/B16,0)</f>
        <v>1</v>
      </c>
      <c r="F16" s="5" t="s">
        <v>38</v>
      </c>
    </row>
    <row r="17" spans="1:6" ht="18" customHeight="1" x14ac:dyDescent="0.2">
      <c r="A17" s="7" t="s">
        <v>39</v>
      </c>
      <c r="B17" s="8">
        <v>2</v>
      </c>
      <c r="C17" s="8">
        <v>2</v>
      </c>
      <c r="D17" s="8">
        <v>0</v>
      </c>
      <c r="E17" s="9">
        <f>IFERROR(C17/B17,0)</f>
        <v>1</v>
      </c>
      <c r="F17" s="7" t="s">
        <v>40</v>
      </c>
    </row>
    <row r="18" spans="1:6" ht="18" customHeight="1" x14ac:dyDescent="0.2">
      <c r="A18" s="10" t="s">
        <v>41</v>
      </c>
      <c r="B18" s="3">
        <v>2</v>
      </c>
      <c r="C18" s="3">
        <v>2</v>
      </c>
      <c r="D18" s="3">
        <v>0</v>
      </c>
      <c r="E18" s="11">
        <f>IFERROR(C18/B18,0)</f>
        <v>1</v>
      </c>
      <c r="F18" s="10" t="s">
        <v>42</v>
      </c>
    </row>
    <row r="19" spans="1:6" ht="18" customHeight="1" x14ac:dyDescent="0.2">
      <c r="A19" s="12" t="s">
        <v>43</v>
      </c>
      <c r="B19" s="4">
        <v>0</v>
      </c>
      <c r="C19" s="4">
        <v>0</v>
      </c>
      <c r="D19" s="4">
        <v>0</v>
      </c>
      <c r="E19" s="13">
        <f>IFERROR(C19/B19,0)</f>
        <v>0</v>
      </c>
      <c r="F19" s="12" t="s">
        <v>44</v>
      </c>
    </row>
    <row r="20" spans="1:6" ht="18" customHeight="1" x14ac:dyDescent="0.2">
      <c r="A20" s="14" t="s">
        <v>45</v>
      </c>
      <c r="B20" s="15">
        <f>SUM(B16:B19)</f>
        <v>7</v>
      </c>
      <c r="C20" s="15">
        <f>SUM(C16:C19)</f>
        <v>7</v>
      </c>
      <c r="D20" s="15">
        <f>SUM(D16:D19)</f>
        <v>0</v>
      </c>
      <c r="E20" s="16">
        <f>IFERROR(C20/B20,0)</f>
        <v>1</v>
      </c>
      <c r="F20" s="14"/>
    </row>
    <row r="21" spans="1:6" ht="12" customHeight="1" x14ac:dyDescent="0.2"/>
    <row r="22" spans="1:6" ht="22" customHeight="1" x14ac:dyDescent="0.2">
      <c r="A22" s="45" t="s">
        <v>191</v>
      </c>
      <c r="B22" s="38"/>
      <c r="C22" s="38"/>
      <c r="D22" s="38"/>
      <c r="E22" s="38"/>
      <c r="F22" s="38"/>
    </row>
    <row r="23" spans="1:6" ht="22" customHeight="1" x14ac:dyDescent="0.2">
      <c r="A23" s="17" t="s">
        <v>46</v>
      </c>
      <c r="B23" s="46" t="s">
        <v>47</v>
      </c>
      <c r="C23" s="38"/>
      <c r="D23" s="38"/>
      <c r="E23" s="38"/>
      <c r="F23" s="38"/>
    </row>
    <row r="24" spans="1:6" ht="22" customHeight="1" x14ac:dyDescent="0.2">
      <c r="A24" s="17" t="s">
        <v>46</v>
      </c>
      <c r="B24" s="46" t="s">
        <v>48</v>
      </c>
      <c r="C24" s="38"/>
      <c r="D24" s="38"/>
      <c r="E24" s="38"/>
      <c r="F24" s="38"/>
    </row>
    <row r="25" spans="1:6" ht="22" customHeight="1" x14ac:dyDescent="0.2">
      <c r="A25" s="17" t="s">
        <v>46</v>
      </c>
      <c r="B25" s="46" t="s">
        <v>49</v>
      </c>
      <c r="C25" s="38"/>
      <c r="D25" s="38"/>
      <c r="E25" s="38"/>
      <c r="F25" s="38"/>
    </row>
    <row r="26" spans="1:6" ht="22" customHeight="1" x14ac:dyDescent="0.2">
      <c r="A26" s="18" t="s">
        <v>50</v>
      </c>
      <c r="B26" s="39" t="s">
        <v>51</v>
      </c>
      <c r="C26" s="38"/>
      <c r="D26" s="38"/>
      <c r="E26" s="38"/>
      <c r="F26" s="38"/>
    </row>
    <row r="27" spans="1:6" ht="22" customHeight="1" x14ac:dyDescent="0.2">
      <c r="A27" s="18" t="s">
        <v>50</v>
      </c>
      <c r="B27" s="39" t="s">
        <v>52</v>
      </c>
      <c r="C27" s="38"/>
      <c r="D27" s="38"/>
      <c r="E27" s="38"/>
      <c r="F27" s="38"/>
    </row>
  </sheetData>
  <mergeCells count="22">
    <mergeCell ref="B24:F24"/>
    <mergeCell ref="D4"/>
    <mergeCell ref="E5:E6"/>
    <mergeCell ref="A4"/>
    <mergeCell ref="B25:F25"/>
    <mergeCell ref="F5:F6"/>
    <mergeCell ref="A1:F1"/>
    <mergeCell ref="B26:F26"/>
    <mergeCell ref="C5:C6"/>
    <mergeCell ref="B27:F27"/>
    <mergeCell ref="A2:F2"/>
    <mergeCell ref="B4"/>
    <mergeCell ref="F4"/>
    <mergeCell ref="A14:F14"/>
    <mergeCell ref="A8:F8"/>
    <mergeCell ref="A22:F22"/>
    <mergeCell ref="B23:F23"/>
    <mergeCell ref="A5:A6"/>
    <mergeCell ref="C4"/>
    <mergeCell ref="E4"/>
    <mergeCell ref="B5:B6"/>
    <mergeCell ref="D5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62828"/>
  </sheetPr>
  <dimension ref="A1:K9"/>
  <sheetViews>
    <sheetView tabSelected="1" zoomScale="120" zoomScaleNormal="120" workbookViewId="0">
      <pane ySplit="2" topLeftCell="A3" activePane="bottomLeft" state="frozen"/>
      <selection pane="bottomLeft" activeCell="G6" sqref="G6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42" customWidth="1"/>
    <col min="4" max="5" width="14" customWidth="1"/>
    <col min="6" max="6" width="18" customWidth="1"/>
    <col min="7" max="7" width="37.1640625" customWidth="1"/>
    <col min="8" max="9" width="52" customWidth="1"/>
    <col min="10" max="10" width="38" customWidth="1"/>
    <col min="11" max="11" width="18" customWidth="1"/>
  </cols>
  <sheetData>
    <row r="1" spans="1:11" ht="30" customHeight="1" x14ac:dyDescent="0.2">
      <c r="A1" s="52" t="s">
        <v>53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22" customHeight="1" x14ac:dyDescent="0.2">
      <c r="A2" s="19" t="s">
        <v>54</v>
      </c>
      <c r="B2" s="19" t="s">
        <v>32</v>
      </c>
      <c r="C2" s="19" t="s">
        <v>55</v>
      </c>
      <c r="D2" s="19" t="s">
        <v>56</v>
      </c>
      <c r="E2" s="19" t="s">
        <v>57</v>
      </c>
      <c r="F2" s="19" t="s">
        <v>58</v>
      </c>
      <c r="G2" s="59" t="s">
        <v>194</v>
      </c>
      <c r="H2" s="19" t="s">
        <v>59</v>
      </c>
      <c r="I2" s="19" t="s">
        <v>60</v>
      </c>
      <c r="J2" s="19" t="s">
        <v>61</v>
      </c>
      <c r="K2" s="19" t="s">
        <v>36</v>
      </c>
    </row>
    <row r="3" spans="1:11" ht="80" customHeight="1" x14ac:dyDescent="0.2">
      <c r="A3" s="20" t="s">
        <v>62</v>
      </c>
      <c r="B3" s="21" t="s">
        <v>37</v>
      </c>
      <c r="C3" s="22" t="s">
        <v>63</v>
      </c>
      <c r="D3" s="22" t="s">
        <v>14</v>
      </c>
      <c r="E3" s="23" t="s">
        <v>64</v>
      </c>
      <c r="F3" s="22" t="s">
        <v>65</v>
      </c>
      <c r="G3" s="22"/>
      <c r="H3" s="22" t="s">
        <v>66</v>
      </c>
      <c r="I3" s="22" t="s">
        <v>67</v>
      </c>
      <c r="J3" s="22" t="s">
        <v>68</v>
      </c>
      <c r="K3" s="22" t="s">
        <v>69</v>
      </c>
    </row>
    <row r="4" spans="1:11" ht="80" customHeight="1" x14ac:dyDescent="0.2">
      <c r="A4" s="20" t="s">
        <v>70</v>
      </c>
      <c r="B4" s="21" t="s">
        <v>37</v>
      </c>
      <c r="C4" s="22" t="s">
        <v>71</v>
      </c>
      <c r="D4" s="22" t="s">
        <v>14</v>
      </c>
      <c r="E4" s="23" t="s">
        <v>64</v>
      </c>
      <c r="F4" s="22" t="s">
        <v>72</v>
      </c>
      <c r="G4" s="22"/>
      <c r="H4" s="22" t="s">
        <v>73</v>
      </c>
      <c r="I4" s="22" t="s">
        <v>74</v>
      </c>
      <c r="J4" s="22" t="s">
        <v>75</v>
      </c>
      <c r="K4" s="22" t="s">
        <v>76</v>
      </c>
    </row>
    <row r="5" spans="1:11" ht="80" customHeight="1" x14ac:dyDescent="0.2">
      <c r="A5" s="20" t="s">
        <v>77</v>
      </c>
      <c r="B5" s="21" t="s">
        <v>37</v>
      </c>
      <c r="C5" s="22" t="s">
        <v>78</v>
      </c>
      <c r="D5" s="22" t="s">
        <v>79</v>
      </c>
      <c r="E5" s="23" t="s">
        <v>64</v>
      </c>
      <c r="F5" s="22" t="s">
        <v>80</v>
      </c>
      <c r="G5" s="22"/>
      <c r="H5" s="22" t="s">
        <v>81</v>
      </c>
      <c r="I5" s="22" t="s">
        <v>82</v>
      </c>
      <c r="J5" s="22" t="s">
        <v>83</v>
      </c>
      <c r="K5" s="22" t="s">
        <v>84</v>
      </c>
    </row>
    <row r="6" spans="1:11" ht="80" customHeight="1" x14ac:dyDescent="0.2">
      <c r="A6" s="57" t="s">
        <v>85</v>
      </c>
      <c r="B6" s="24" t="s">
        <v>39</v>
      </c>
      <c r="C6" s="22" t="s">
        <v>87</v>
      </c>
      <c r="D6" s="22" t="s">
        <v>88</v>
      </c>
      <c r="E6" s="23" t="s">
        <v>64</v>
      </c>
      <c r="F6" s="22" t="s">
        <v>89</v>
      </c>
      <c r="G6" s="58" t="s">
        <v>204</v>
      </c>
      <c r="H6" s="22" t="s">
        <v>90</v>
      </c>
      <c r="I6" s="58" t="s">
        <v>205</v>
      </c>
      <c r="J6" s="22" t="s">
        <v>91</v>
      </c>
      <c r="K6" s="22" t="s">
        <v>92</v>
      </c>
    </row>
    <row r="7" spans="1:11" ht="117" x14ac:dyDescent="0.2">
      <c r="A7" s="57" t="s">
        <v>86</v>
      </c>
      <c r="B7" s="24" t="s">
        <v>39</v>
      </c>
      <c r="C7" s="58" t="s">
        <v>193</v>
      </c>
      <c r="D7" s="22" t="s">
        <v>94</v>
      </c>
      <c r="E7" s="23" t="s">
        <v>64</v>
      </c>
      <c r="F7" s="22" t="s">
        <v>95</v>
      </c>
      <c r="G7" s="58" t="s">
        <v>195</v>
      </c>
      <c r="H7" s="58" t="s">
        <v>96</v>
      </c>
      <c r="I7" s="58" t="s">
        <v>196</v>
      </c>
      <c r="J7" s="58" t="s">
        <v>197</v>
      </c>
      <c r="K7" s="22" t="s">
        <v>97</v>
      </c>
    </row>
    <row r="8" spans="1:11" ht="80" customHeight="1" x14ac:dyDescent="0.2">
      <c r="A8" s="57" t="s">
        <v>93</v>
      </c>
      <c r="B8" s="25" t="s">
        <v>41</v>
      </c>
      <c r="C8" s="22" t="s">
        <v>99</v>
      </c>
      <c r="D8" s="22" t="s">
        <v>94</v>
      </c>
      <c r="E8" s="23" t="s">
        <v>64</v>
      </c>
      <c r="F8" s="58" t="s">
        <v>198</v>
      </c>
      <c r="H8" s="22" t="s">
        <v>100</v>
      </c>
      <c r="I8" s="22" t="s">
        <v>101</v>
      </c>
      <c r="J8" s="22" t="s">
        <v>102</v>
      </c>
      <c r="K8" s="22" t="s">
        <v>103</v>
      </c>
    </row>
    <row r="9" spans="1:11" ht="78" x14ac:dyDescent="0.2">
      <c r="A9" s="57" t="s">
        <v>98</v>
      </c>
      <c r="B9" s="25" t="s">
        <v>41</v>
      </c>
      <c r="C9" s="22" t="s">
        <v>99</v>
      </c>
      <c r="D9" s="22" t="s">
        <v>94</v>
      </c>
      <c r="E9" s="23" t="s">
        <v>64</v>
      </c>
      <c r="F9" s="58" t="s">
        <v>198</v>
      </c>
      <c r="G9" s="58" t="s">
        <v>199</v>
      </c>
      <c r="H9" s="58" t="s">
        <v>200</v>
      </c>
      <c r="I9" s="58" t="s">
        <v>201</v>
      </c>
      <c r="J9" s="58" t="s">
        <v>202</v>
      </c>
      <c r="K9" s="58" t="s">
        <v>203</v>
      </c>
    </row>
  </sheetData>
  <autoFilter ref="A2:K8" xr:uid="{00000000-0009-0000-0000-000001000000}"/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7D32"/>
  </sheetPr>
  <dimension ref="A1:G12"/>
  <sheetViews>
    <sheetView workbookViewId="0">
      <selection activeCell="H18" sqref="H18"/>
    </sheetView>
  </sheetViews>
  <sheetFormatPr baseColWidth="10" defaultColWidth="8.83203125" defaultRowHeight="15" x14ac:dyDescent="0.2"/>
  <cols>
    <col min="1" max="1" width="8" customWidth="1"/>
    <col min="2" max="2" width="14" customWidth="1"/>
    <col min="3" max="3" width="16" customWidth="1"/>
    <col min="4" max="4" width="18" customWidth="1"/>
    <col min="5" max="5" width="20" customWidth="1"/>
    <col min="6" max="6" width="18" customWidth="1"/>
    <col min="7" max="7" width="22" customWidth="1"/>
  </cols>
  <sheetData>
    <row r="1" spans="1:7" ht="30" customHeight="1" x14ac:dyDescent="0.2">
      <c r="A1" s="52" t="s">
        <v>104</v>
      </c>
      <c r="B1" s="38"/>
      <c r="C1" s="38"/>
      <c r="D1" s="38"/>
      <c r="E1" s="38"/>
      <c r="F1" s="38"/>
      <c r="G1" s="38"/>
    </row>
    <row r="2" spans="1:7" ht="35" customHeight="1" x14ac:dyDescent="0.2">
      <c r="A2" s="19" t="s">
        <v>105</v>
      </c>
      <c r="B2" s="19" t="s">
        <v>13</v>
      </c>
      <c r="C2" s="19" t="s">
        <v>106</v>
      </c>
      <c r="D2" s="19" t="s">
        <v>107</v>
      </c>
      <c r="E2" s="19" t="s">
        <v>108</v>
      </c>
      <c r="F2" s="19" t="s">
        <v>109</v>
      </c>
      <c r="G2" s="19" t="s">
        <v>7</v>
      </c>
    </row>
    <row r="3" spans="1:7" ht="22" customHeight="1" x14ac:dyDescent="0.2">
      <c r="A3" s="26">
        <v>1</v>
      </c>
      <c r="B3" s="26" t="s">
        <v>19</v>
      </c>
      <c r="C3" s="27">
        <v>1</v>
      </c>
      <c r="D3" s="28">
        <v>0.7</v>
      </c>
      <c r="E3" s="29">
        <v>0</v>
      </c>
      <c r="F3" s="29">
        <v>0.63</v>
      </c>
      <c r="G3" s="30" t="s">
        <v>110</v>
      </c>
    </row>
    <row r="4" spans="1:7" ht="22" customHeight="1" x14ac:dyDescent="0.2">
      <c r="A4" s="26">
        <v>2</v>
      </c>
      <c r="B4" s="26" t="s">
        <v>19</v>
      </c>
      <c r="C4" s="27">
        <v>1</v>
      </c>
      <c r="D4" s="28">
        <v>0.7</v>
      </c>
      <c r="E4" s="28">
        <v>0.86</v>
      </c>
      <c r="F4" s="28">
        <v>0.85</v>
      </c>
      <c r="G4" s="31" t="s">
        <v>111</v>
      </c>
    </row>
    <row r="5" spans="1:7" ht="22" customHeight="1" x14ac:dyDescent="0.2">
      <c r="A5" s="32">
        <v>3</v>
      </c>
      <c r="B5" s="32" t="s">
        <v>28</v>
      </c>
      <c r="C5" s="33">
        <v>1</v>
      </c>
      <c r="D5" s="33">
        <v>1</v>
      </c>
      <c r="E5" s="33">
        <v>1</v>
      </c>
      <c r="F5" s="33">
        <v>1</v>
      </c>
      <c r="G5" s="34" t="s">
        <v>10</v>
      </c>
    </row>
    <row r="6" spans="1:7" ht="18" customHeight="1" x14ac:dyDescent="0.2">
      <c r="A6" s="53" t="s">
        <v>112</v>
      </c>
      <c r="B6" s="38"/>
      <c r="C6" s="38"/>
      <c r="D6" s="38"/>
      <c r="E6" s="38"/>
      <c r="F6" s="38"/>
      <c r="G6" s="38"/>
    </row>
    <row r="7" spans="1:7" ht="12" customHeight="1" x14ac:dyDescent="0.2"/>
    <row r="8" spans="1:7" ht="22" customHeight="1" x14ac:dyDescent="0.2">
      <c r="A8" s="44" t="s">
        <v>113</v>
      </c>
      <c r="B8" s="38"/>
      <c r="C8" s="38"/>
      <c r="D8" s="38"/>
      <c r="E8" s="38"/>
      <c r="F8" s="38"/>
      <c r="G8" s="38"/>
    </row>
    <row r="9" spans="1:7" x14ac:dyDescent="0.2">
      <c r="A9" s="1" t="s">
        <v>12</v>
      </c>
      <c r="B9" s="1" t="s">
        <v>14</v>
      </c>
      <c r="C9" s="1" t="s">
        <v>15</v>
      </c>
      <c r="D9" s="1" t="s">
        <v>16</v>
      </c>
      <c r="E9" s="1" t="s">
        <v>114</v>
      </c>
    </row>
    <row r="10" spans="1:7" ht="18" customHeight="1" x14ac:dyDescent="0.2">
      <c r="A10" s="35" t="s">
        <v>18</v>
      </c>
      <c r="B10" s="36">
        <v>1</v>
      </c>
      <c r="C10" s="36">
        <v>0.7</v>
      </c>
      <c r="D10" s="36">
        <v>0</v>
      </c>
      <c r="E10" s="36">
        <v>0.63</v>
      </c>
    </row>
    <row r="11" spans="1:7" ht="18" customHeight="1" x14ac:dyDescent="0.2">
      <c r="A11" s="35" t="s">
        <v>24</v>
      </c>
      <c r="B11" s="36">
        <v>1</v>
      </c>
      <c r="C11" s="36">
        <v>0.7</v>
      </c>
      <c r="D11" s="36">
        <v>0.86</v>
      </c>
      <c r="E11" s="36">
        <v>0.85</v>
      </c>
    </row>
    <row r="12" spans="1:7" ht="18" customHeight="1" x14ac:dyDescent="0.2">
      <c r="A12" s="35" t="s">
        <v>27</v>
      </c>
      <c r="B12" s="36">
        <v>1</v>
      </c>
      <c r="C12" s="36">
        <v>1</v>
      </c>
      <c r="D12" s="36">
        <v>1</v>
      </c>
      <c r="E12" s="36">
        <v>1</v>
      </c>
    </row>
  </sheetData>
  <mergeCells count="3">
    <mergeCell ref="A8:G8"/>
    <mergeCell ref="A6:G6"/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65100"/>
  </sheetPr>
  <dimension ref="A1:F22"/>
  <sheetViews>
    <sheetView workbookViewId="0">
      <pane ySplit="5" topLeftCell="A7" activePane="bottomLeft" state="frozen"/>
      <selection pane="bottomLeft" activeCell="D21" activeCellId="1" sqref="D19 D21"/>
    </sheetView>
  </sheetViews>
  <sheetFormatPr baseColWidth="10" defaultColWidth="8.83203125" defaultRowHeight="15" x14ac:dyDescent="0.2"/>
  <cols>
    <col min="1" max="1" width="38" customWidth="1"/>
    <col min="2" max="3" width="32" customWidth="1"/>
    <col min="4" max="5" width="16" customWidth="1"/>
    <col min="6" max="6" width="36" customWidth="1"/>
  </cols>
  <sheetData>
    <row r="1" spans="1:6" ht="30" customHeight="1" x14ac:dyDescent="0.2">
      <c r="A1" s="56" t="s">
        <v>192</v>
      </c>
      <c r="B1" s="38"/>
      <c r="C1" s="38"/>
      <c r="D1" s="38"/>
      <c r="E1" s="38"/>
      <c r="F1" s="38"/>
    </row>
    <row r="2" spans="1:6" ht="18" customHeight="1" x14ac:dyDescent="0.2">
      <c r="A2" s="54" t="s">
        <v>115</v>
      </c>
      <c r="B2" s="38"/>
      <c r="C2" s="38"/>
      <c r="D2" s="38"/>
      <c r="E2" s="38"/>
      <c r="F2" s="38"/>
    </row>
    <row r="3" spans="1:6" ht="10" customHeight="1" x14ac:dyDescent="0.2"/>
    <row r="4" spans="1:6" ht="22" customHeight="1" x14ac:dyDescent="0.2">
      <c r="A4" s="44" t="s">
        <v>116</v>
      </c>
      <c r="B4" s="38"/>
      <c r="C4" s="38"/>
      <c r="D4" s="38"/>
      <c r="E4" s="38"/>
      <c r="F4" s="38"/>
    </row>
    <row r="5" spans="1:6" ht="18" customHeight="1" x14ac:dyDescent="0.2">
      <c r="A5" s="1" t="s">
        <v>117</v>
      </c>
      <c r="B5" s="1" t="s">
        <v>118</v>
      </c>
      <c r="C5" s="1" t="s">
        <v>119</v>
      </c>
      <c r="D5" s="1" t="s">
        <v>120</v>
      </c>
      <c r="E5" s="1" t="s">
        <v>121</v>
      </c>
      <c r="F5" s="1" t="s">
        <v>122</v>
      </c>
    </row>
    <row r="6" spans="1:6" ht="40" customHeight="1" x14ac:dyDescent="0.2">
      <c r="A6" s="22" t="s">
        <v>123</v>
      </c>
      <c r="B6" s="22" t="s">
        <v>124</v>
      </c>
      <c r="C6" s="22" t="s">
        <v>125</v>
      </c>
      <c r="D6" s="23" t="s">
        <v>126</v>
      </c>
      <c r="E6" s="23" t="s">
        <v>127</v>
      </c>
      <c r="F6" s="22" t="s">
        <v>128</v>
      </c>
    </row>
    <row r="7" spans="1:6" ht="40" customHeight="1" x14ac:dyDescent="0.2">
      <c r="A7" s="22" t="s">
        <v>129</v>
      </c>
      <c r="B7" s="22" t="s">
        <v>130</v>
      </c>
      <c r="C7" s="22" t="s">
        <v>131</v>
      </c>
      <c r="D7" s="23" t="s">
        <v>126</v>
      </c>
      <c r="E7" s="23" t="s">
        <v>127</v>
      </c>
      <c r="F7" s="22" t="s">
        <v>132</v>
      </c>
    </row>
    <row r="8" spans="1:6" ht="40" customHeight="1" x14ac:dyDescent="0.2">
      <c r="A8" s="22" t="s">
        <v>133</v>
      </c>
      <c r="B8" s="22" t="s">
        <v>134</v>
      </c>
      <c r="C8" s="22" t="s">
        <v>135</v>
      </c>
      <c r="D8" s="23" t="s">
        <v>126</v>
      </c>
      <c r="E8" s="23" t="s">
        <v>127</v>
      </c>
      <c r="F8" s="22" t="s">
        <v>136</v>
      </c>
    </row>
    <row r="9" spans="1:6" ht="40" customHeight="1" x14ac:dyDescent="0.2">
      <c r="A9" s="22" t="s">
        <v>137</v>
      </c>
      <c r="B9" s="22" t="s">
        <v>138</v>
      </c>
      <c r="C9" s="22" t="s">
        <v>139</v>
      </c>
      <c r="D9" s="23" t="s">
        <v>126</v>
      </c>
      <c r="E9" s="23" t="s">
        <v>127</v>
      </c>
      <c r="F9" s="22" t="s">
        <v>140</v>
      </c>
    </row>
    <row r="10" spans="1:6" ht="40" customHeight="1" x14ac:dyDescent="0.2">
      <c r="A10" s="22" t="s">
        <v>141</v>
      </c>
      <c r="B10" s="22" t="s">
        <v>142</v>
      </c>
      <c r="C10" s="22" t="s">
        <v>143</v>
      </c>
      <c r="D10" s="23" t="s">
        <v>126</v>
      </c>
      <c r="E10" s="23" t="s">
        <v>127</v>
      </c>
      <c r="F10" s="22" t="s">
        <v>144</v>
      </c>
    </row>
    <row r="11" spans="1:6" ht="40" customHeight="1" x14ac:dyDescent="0.2">
      <c r="A11" s="22" t="s">
        <v>145</v>
      </c>
      <c r="B11" s="22" t="s">
        <v>146</v>
      </c>
      <c r="C11" s="22" t="s">
        <v>147</v>
      </c>
      <c r="D11" s="23" t="s">
        <v>126</v>
      </c>
      <c r="E11" s="23" t="s">
        <v>127</v>
      </c>
      <c r="F11" s="22" t="s">
        <v>148</v>
      </c>
    </row>
    <row r="12" spans="1:6" ht="40" customHeight="1" x14ac:dyDescent="0.2">
      <c r="A12" s="22" t="s">
        <v>149</v>
      </c>
      <c r="B12" s="22" t="s">
        <v>150</v>
      </c>
      <c r="C12" s="22" t="s">
        <v>151</v>
      </c>
      <c r="D12" s="23" t="s">
        <v>126</v>
      </c>
      <c r="E12" s="23" t="s">
        <v>127</v>
      </c>
      <c r="F12" s="22" t="s">
        <v>152</v>
      </c>
    </row>
    <row r="13" spans="1:6" ht="40" customHeight="1" x14ac:dyDescent="0.2">
      <c r="A13" s="22" t="s">
        <v>153</v>
      </c>
      <c r="B13" s="22" t="s">
        <v>154</v>
      </c>
      <c r="C13" s="22" t="s">
        <v>155</v>
      </c>
      <c r="D13" s="23" t="s">
        <v>126</v>
      </c>
      <c r="E13" s="23" t="s">
        <v>127</v>
      </c>
      <c r="F13" s="22" t="s">
        <v>156</v>
      </c>
    </row>
    <row r="14" spans="1:6" ht="22" customHeight="1" x14ac:dyDescent="0.2">
      <c r="A14" s="55" t="s">
        <v>157</v>
      </c>
      <c r="B14" s="38"/>
      <c r="C14" s="38"/>
      <c r="D14" s="17" t="s">
        <v>158</v>
      </c>
      <c r="E14" s="17" t="s">
        <v>159</v>
      </c>
    </row>
    <row r="15" spans="1:6" ht="12" customHeight="1" x14ac:dyDescent="0.2"/>
    <row r="16" spans="1:6" ht="22" customHeight="1" x14ac:dyDescent="0.2">
      <c r="A16" s="44" t="s">
        <v>160</v>
      </c>
      <c r="B16" s="38"/>
      <c r="C16" s="38"/>
      <c r="D16" s="38"/>
      <c r="E16" s="38"/>
      <c r="F16" s="38"/>
    </row>
    <row r="17" spans="1:6" ht="18" customHeight="1" x14ac:dyDescent="0.2">
      <c r="A17" s="1" t="s">
        <v>161</v>
      </c>
      <c r="B17" s="1" t="s">
        <v>162</v>
      </c>
      <c r="C17" s="1" t="s">
        <v>163</v>
      </c>
      <c r="D17" s="1" t="s">
        <v>164</v>
      </c>
      <c r="E17" s="1" t="s">
        <v>165</v>
      </c>
      <c r="F17" s="1" t="s">
        <v>57</v>
      </c>
    </row>
    <row r="18" spans="1:6" ht="45" customHeight="1" x14ac:dyDescent="0.2">
      <c r="A18" s="22" t="s">
        <v>166</v>
      </c>
      <c r="B18" s="22" t="s">
        <v>167</v>
      </c>
      <c r="C18" s="22" t="s">
        <v>168</v>
      </c>
      <c r="D18" s="21" t="s">
        <v>169</v>
      </c>
      <c r="E18" s="22" t="s">
        <v>170</v>
      </c>
      <c r="F18" s="23" t="s">
        <v>171</v>
      </c>
    </row>
    <row r="19" spans="1:6" ht="45" customHeight="1" x14ac:dyDescent="0.2">
      <c r="A19" s="22" t="s">
        <v>172</v>
      </c>
      <c r="B19" s="22" t="s">
        <v>173</v>
      </c>
      <c r="C19" s="22" t="s">
        <v>174</v>
      </c>
      <c r="D19" s="24" t="s">
        <v>175</v>
      </c>
      <c r="E19" s="22" t="s">
        <v>176</v>
      </c>
      <c r="F19" s="23" t="s">
        <v>177</v>
      </c>
    </row>
    <row r="20" spans="1:6" ht="45" customHeight="1" x14ac:dyDescent="0.2">
      <c r="A20" s="22" t="s">
        <v>178</v>
      </c>
      <c r="B20" s="22" t="s">
        <v>179</v>
      </c>
      <c r="C20" s="22" t="s">
        <v>180</v>
      </c>
      <c r="D20" s="21" t="s">
        <v>169</v>
      </c>
      <c r="E20" s="22" t="s">
        <v>181</v>
      </c>
      <c r="F20" s="23" t="s">
        <v>171</v>
      </c>
    </row>
    <row r="21" spans="1:6" ht="45" customHeight="1" x14ac:dyDescent="0.2">
      <c r="A21" s="22" t="s">
        <v>182</v>
      </c>
      <c r="B21" s="22" t="s">
        <v>183</v>
      </c>
      <c r="C21" s="22" t="s">
        <v>184</v>
      </c>
      <c r="D21" s="24" t="s">
        <v>175</v>
      </c>
      <c r="E21" s="22" t="s">
        <v>185</v>
      </c>
      <c r="F21" s="23" t="s">
        <v>171</v>
      </c>
    </row>
    <row r="22" spans="1:6" ht="45" customHeight="1" x14ac:dyDescent="0.2">
      <c r="A22" s="22" t="s">
        <v>186</v>
      </c>
      <c r="B22" s="22" t="s">
        <v>187</v>
      </c>
      <c r="C22" s="22" t="s">
        <v>188</v>
      </c>
      <c r="D22" s="25" t="s">
        <v>189</v>
      </c>
      <c r="E22" s="22" t="s">
        <v>190</v>
      </c>
      <c r="F22" s="23" t="s">
        <v>171</v>
      </c>
    </row>
  </sheetData>
  <autoFilter ref="A5:F5" xr:uid="{00000000-0009-0000-0000-000003000000}"/>
  <mergeCells count="5">
    <mergeCell ref="A16:F16"/>
    <mergeCell ref="A2:F2"/>
    <mergeCell ref="A14:C14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📊 Dashboard</vt:lpstr>
      <vt:lpstr>🐛 Issues Log</vt:lpstr>
      <vt:lpstr>📈 Eval Scores</vt:lpstr>
      <vt:lpstr>⚔️ Adversarial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 Sahoo</cp:lastModifiedBy>
  <dcterms:created xsi:type="dcterms:W3CDTF">2026-06-10T16:19:05Z</dcterms:created>
  <dcterms:modified xsi:type="dcterms:W3CDTF">2026-06-22T19:28:38Z</dcterms:modified>
</cp:coreProperties>
</file>